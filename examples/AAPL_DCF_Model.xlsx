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" sheetId="2" state="visible" r:id="rId2"/>
    <sheet name="Sensitivity" sheetId="3" state="visible" r:id="rId3"/>
    <sheet name="Historical" sheetId="4" state="visible" r:id="rId4"/>
  </sheets>
  <definedNames>
    <definedName name="Nyears">Assumptions!$B$5</definedName>
    <definedName name="g_init">Assumptions!$B$6</definedName>
    <definedName name="g_term">Assumptions!$B$7</definedName>
    <definedName name="m_start">Assumptions!$B$9</definedName>
    <definedName name="m_target">Assumptions!$B$10</definedName>
    <definedName name="tax">Assumptions!$B$11</definedName>
    <definedName name="da_pct">Assumptions!$B$13</definedName>
    <definedName name="capex_pct">Assumptions!$B$14</definedName>
    <definedName name="nwc_pct">Assumptions!$B$15</definedName>
    <definedName name="rf">Assumptions!$B$17</definedName>
    <definedName name="erp">Assumptions!$B$18</definedName>
    <definedName name="beta">Assumptions!$B$19</definedName>
    <definedName name="kd_pre">Assumptions!$B$20</definedName>
    <definedName name="exit_mult">Assumptions!$B$22</definedName>
    <definedName name="Rev0">Assumptions!$B$24</definedName>
    <definedName name="NWC0">Assumptions!$B$25</definedName>
    <definedName name="TotalDebt">Assumptions!$B$26</definedName>
    <definedName name="NetDebt">Assumptions!$B$27</definedName>
    <definedName name="Shares">Assumptions!$B$28</definedName>
    <definedName name="CurPrice">Assumptions!$B$29</definedName>
    <definedName name="MktCap">Assumptions!$B$30</definedName>
    <definedName name="CostEquity">Assumptions!$B$32</definedName>
    <definedName name="AfterTaxKd">Assumptions!$B$33</definedName>
    <definedName name="WgtEquity">Assumptions!$B$34</definedName>
    <definedName name="WgtDebt">Assumptions!$B$35</definedName>
    <definedName name="WACC">Assumptions!$B$36</definedName>
    <definedName name="_xlnm.Print_Titles" localSheetId="3">'Historical'!$3:$3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[$-409]0.0%;(0.0%)"/>
    <numFmt numFmtId="165" formatCode="[$-409]0.0&quot;x&quot;"/>
    <numFmt numFmtId="166" formatCode="[$-409]#,##0;(#,##0)"/>
    <numFmt numFmtId="167" formatCode="[$-409]#,##0"/>
    <numFmt numFmtId="168" formatCode="[$-409]$#,##0.00;($#,##0.00)"/>
    <numFmt numFmtId="169" formatCode="0.000"/>
    <numFmt numFmtId="170" formatCode="[$-409]0.00%;(0.00%)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color rgb="FF000000"/>
      <sz val="10"/>
    </font>
    <font>
      <name val="Arial"/>
      <i val="1"/>
      <color rgb="FF666666"/>
      <sz val="9"/>
    </font>
    <font>
      <name val="Arial"/>
      <b val="1"/>
      <color rgb="FF000000"/>
      <sz val="10"/>
    </font>
    <font>
      <name val="Arial"/>
      <color rgb="FF0000CC"/>
      <sz val="10"/>
    </font>
    <font>
      <name val="Arial"/>
      <color rgb="FF666666"/>
      <sz val="9"/>
    </font>
    <font>
      <name val="Arial"/>
      <color rgb="FF0000CC"/>
      <sz val="9"/>
    </font>
    <font>
      <name val="Arial"/>
      <color rgb="FF000000"/>
      <sz val="9"/>
    </font>
    <font>
      <name val="Arial"/>
      <color rgb="FFC00000"/>
      <sz val="9"/>
    </font>
    <font>
      <name val="Arial"/>
      <color rgb="FF666666"/>
      <sz val="8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D7D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  <xf numFmtId="1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164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7" fillId="4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5" borderId="1" pivotButton="0" quotePrefix="0" xfId="0"/>
    <xf numFmtId="0" fontId="6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4" fillId="0" borderId="0" pivotButton="0" quotePrefix="0" xfId="0"/>
    <xf numFmtId="166" fontId="2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9" fontId="2" fillId="0" borderId="0" applyAlignment="1" pivotButton="0" quotePrefix="0" xfId="0">
      <alignment horizontal="center" vertical="center"/>
    </xf>
    <xf numFmtId="168" fontId="4" fillId="6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right" vertical="center"/>
    </xf>
    <xf numFmtId="168" fontId="4" fillId="6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70" fontId="4" fillId="3" borderId="1" applyAlignment="1" pivotButton="0" quotePrefix="0" xfId="0">
      <alignment horizontal="center" vertical="center"/>
    </xf>
    <xf numFmtId="168" fontId="2" fillId="0" borderId="1" applyAlignment="1" pivotButton="0" quotePrefix="0" xfId="0">
      <alignment horizontal="center" vertical="center"/>
    </xf>
    <xf numFmtId="166" fontId="5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Unlevered FCFF forecast ($M)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'DCF'!$C$3:$G$3</f>
            </numRef>
          </cat>
          <val>
            <numRef>
              <f>'DCF'!$C$14:$G$14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468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52" customWidth="1" min="4" max="4"/>
  </cols>
  <sheetData>
    <row r="1">
      <c r="A1" s="1" t="inlineStr">
        <is>
          <t>Apple Inc. (AAPL) — DCF Assumptions &amp; Inputs</t>
        </is>
      </c>
      <c r="B1" s="2" t="inlineStr"/>
      <c r="C1" s="2" t="inlineStr"/>
      <c r="D1" s="2" t="inlineStr"/>
    </row>
    <row r="2">
      <c r="A2" s="3" t="inlineStr">
        <is>
          <t>Generated 2026-08-07  |  sector: general  |  horizon: 5 yrs  |  values in $ millions unless noted</t>
        </is>
      </c>
    </row>
    <row r="3">
      <c r="A3" s="4" t="inlineStr">
        <is>
          <t>Item</t>
        </is>
      </c>
      <c r="B3" s="5" t="inlineStr">
        <is>
          <t>Value</t>
        </is>
      </c>
      <c r="C3" s="5" t="inlineStr">
        <is>
          <t>Unit</t>
        </is>
      </c>
      <c r="D3" s="4" t="inlineStr">
        <is>
          <t>Source / basis</t>
        </is>
      </c>
    </row>
    <row r="4">
      <c r="A4" s="4" t="inlineStr">
        <is>
          <t>FORECAST</t>
        </is>
      </c>
      <c r="B4" s="6" t="inlineStr"/>
      <c r="C4" s="6" t="inlineStr"/>
      <c r="D4" s="6" t="inlineStr"/>
    </row>
    <row r="5">
      <c r="A5" s="7" t="inlineStr">
        <is>
          <t>Forecast horizon</t>
        </is>
      </c>
      <c r="B5" s="8" t="n">
        <v>5</v>
      </c>
      <c r="C5" s="9" t="inlineStr">
        <is>
          <t>yrs</t>
        </is>
      </c>
      <c r="D5" s="10" t="inlineStr">
        <is>
          <t>structural — regenerate the workbook to change the horizon</t>
        </is>
      </c>
    </row>
    <row r="6">
      <c r="A6" s="7" t="inlineStr">
        <is>
          <t>Revenue growth — year 1</t>
        </is>
      </c>
      <c r="B6" s="11" t="n">
        <v>0.05244945333785067</v>
      </c>
      <c r="C6" s="9" t="inlineStr">
        <is>
          <t>%/yr</t>
        </is>
      </c>
      <c r="D6" s="10" t="inlineStr">
        <is>
          <t>blend of 3y (1.8%) &amp; 5y (8.7%) historical revenue CAGR</t>
        </is>
      </c>
    </row>
    <row r="7">
      <c r="A7" s="7" t="inlineStr">
        <is>
          <t>Revenue growth — terminal</t>
        </is>
      </c>
      <c r="B7" s="11" t="n">
        <v>0.025</v>
      </c>
      <c r="C7" s="9" t="inlineStr">
        <is>
          <t>%/yr</t>
        </is>
      </c>
      <c r="D7" s="10" t="inlineStr">
        <is>
          <t>assumption — near long-run nominal GDP growth</t>
        </is>
      </c>
    </row>
    <row r="8">
      <c r="A8" s="4" t="inlineStr">
        <is>
          <t>PROFITABILITY</t>
        </is>
      </c>
      <c r="B8" s="6" t="inlineStr"/>
      <c r="C8" s="6" t="inlineStr"/>
      <c r="D8" s="6" t="inlineStr"/>
    </row>
    <row r="9">
      <c r="A9" s="7" t="inlineStr">
        <is>
          <t>EBIT margin — latest actual</t>
        </is>
      </c>
      <c r="B9" s="11" t="n">
        <v>0.3197079976259188</v>
      </c>
      <c r="C9" s="9" t="inlineStr">
        <is>
          <t>%</t>
        </is>
      </c>
      <c r="D9" s="10" t="inlineStr">
        <is>
          <t>latest FY operating margin (EBIT/Revenue)</t>
        </is>
      </c>
    </row>
    <row r="10">
      <c r="A10" s="7" t="inlineStr">
        <is>
          <t>EBIT margin — steady state</t>
        </is>
      </c>
      <c r="B10" s="11" t="n">
        <v>0.3067471136415647</v>
      </c>
      <c r="C10" s="9" t="inlineStr">
        <is>
          <t>%</t>
        </is>
      </c>
      <c r="D10" s="10" t="inlineStr">
        <is>
          <t>5y avg operating margin (EBIT/Revenue)</t>
        </is>
      </c>
    </row>
    <row r="11">
      <c r="A11" s="7" t="inlineStr">
        <is>
          <t>Effective tax rate</t>
        </is>
      </c>
      <c r="B11" s="11" t="n">
        <v>0.1678541685126448</v>
      </c>
      <c r="C11" s="9" t="inlineStr">
        <is>
          <t>%</t>
        </is>
      </c>
      <c r="D11" s="10" t="inlineStr">
        <is>
          <t>5y avg effective tax (tax expense / pre-tax income)</t>
        </is>
      </c>
    </row>
    <row r="12">
      <c r="A12" s="4" t="inlineStr">
        <is>
          <t>CAPITAL INTENSITY (% of revenue)</t>
        </is>
      </c>
      <c r="B12" s="6" t="inlineStr"/>
      <c r="C12" s="6" t="inlineStr"/>
      <c r="D12" s="6" t="inlineStr"/>
    </row>
    <row r="13">
      <c r="A13" s="7" t="inlineStr">
        <is>
          <t>Depreciation &amp; amortisation</t>
        </is>
      </c>
      <c r="B13" s="11" t="n">
        <v>0.02928729415651383</v>
      </c>
      <c r="C13" s="9" t="inlineStr">
        <is>
          <t>%rev</t>
        </is>
      </c>
      <c r="D13" s="10" t="inlineStr">
        <is>
          <t>5y avg D&amp;A / revenue</t>
        </is>
      </c>
    </row>
    <row r="14">
      <c r="A14" s="7" t="inlineStr">
        <is>
          <t>Capital expenditure</t>
        </is>
      </c>
      <c r="B14" s="11" t="n">
        <v>0.02815228754697108</v>
      </c>
      <c r="C14" s="9" t="inlineStr">
        <is>
          <t>%rev</t>
        </is>
      </c>
      <c r="D14" s="10" t="inlineStr">
        <is>
          <t>5y avg capex / revenue</t>
        </is>
      </c>
    </row>
    <row r="15">
      <c r="A15" s="7" t="inlineStr">
        <is>
          <t>Net working capital</t>
        </is>
      </c>
      <c r="B15" s="11" t="n">
        <v>-0.06782644382669291</v>
      </c>
      <c r="C15" s="9" t="inlineStr">
        <is>
          <t>%rev</t>
        </is>
      </c>
      <c r="D15" s="10" t="inlineStr">
        <is>
          <t>5y avg net working capital (AR + inventory - AP) / revenue</t>
        </is>
      </c>
    </row>
    <row r="16">
      <c r="A16" s="4" t="inlineStr">
        <is>
          <t>COST OF CAPITAL (CAPM / WACC)</t>
        </is>
      </c>
      <c r="B16" s="6" t="inlineStr"/>
      <c r="C16" s="6" t="inlineStr"/>
      <c r="D16" s="6" t="inlineStr"/>
    </row>
    <row r="17">
      <c r="A17" s="7" t="inlineStr">
        <is>
          <t>Risk-free rate</t>
        </is>
      </c>
      <c r="B17" s="11" t="n">
        <v>0.042</v>
      </c>
      <c r="C17" s="9" t="inlineStr">
        <is>
          <t>%</t>
        </is>
      </c>
      <c r="D17" s="10" t="inlineStr">
        <is>
          <t>assumption — proxy for 10y US Treasury yield</t>
        </is>
      </c>
    </row>
    <row r="18">
      <c r="A18" s="7" t="inlineStr">
        <is>
          <t>Equity risk premium</t>
        </is>
      </c>
      <c r="B18" s="11" t="n">
        <v>0.05</v>
      </c>
      <c r="C18" s="9" t="inlineStr">
        <is>
          <t>%</t>
        </is>
      </c>
      <c r="D18" s="10" t="inlineStr">
        <is>
          <t>assumption — long-run US equity risk premium (~5%)</t>
        </is>
      </c>
    </row>
    <row r="19">
      <c r="A19" s="7" t="inlineStr">
        <is>
          <t>Equity beta</t>
        </is>
      </c>
      <c r="B19" s="12" t="n">
        <v>1.086</v>
      </c>
      <c r="C19" s="9" t="inlineStr">
        <is>
          <t>x</t>
        </is>
      </c>
      <c r="D19" s="10" t="inlineStr">
        <is>
          <t>yfinance equity beta</t>
        </is>
      </c>
    </row>
    <row r="20">
      <c r="A20" s="7" t="inlineStr">
        <is>
          <t>Pre-tax cost of debt</t>
        </is>
      </c>
      <c r="B20" s="11" t="n">
        <v>0.02793440495524842</v>
      </c>
      <c r="C20" s="9" t="inlineStr">
        <is>
          <t>%</t>
        </is>
      </c>
      <c r="D20" s="10" t="inlineStr">
        <is>
          <t>interest expense / total debt (historical avg)</t>
        </is>
      </c>
    </row>
    <row r="21">
      <c r="A21" s="4" t="inlineStr">
        <is>
          <t>TERMINAL / EXIT</t>
        </is>
      </c>
      <c r="B21" s="6" t="inlineStr"/>
      <c r="C21" s="6" t="inlineStr"/>
      <c r="D21" s="6" t="inlineStr"/>
    </row>
    <row r="22">
      <c r="A22" s="7" t="inlineStr">
        <is>
          <t>Exit EV/EBITDA multiple</t>
        </is>
      </c>
      <c r="B22" s="13" t="n">
        <v>14</v>
      </c>
      <c r="C22" s="9" t="inlineStr">
        <is>
          <t>x</t>
        </is>
      </c>
      <c r="D22" s="10" t="inlineStr">
        <is>
          <t>assumption — mature-business EV/EBITDA exit multiple</t>
        </is>
      </c>
    </row>
    <row r="23">
      <c r="A23" s="4" t="inlineStr">
        <is>
          <t>CAPITAL STRUCTURE &amp; MARKET (snapshot — hard-coded)</t>
        </is>
      </c>
      <c r="B23" s="6" t="inlineStr"/>
      <c r="C23" s="6" t="inlineStr"/>
      <c r="D23" s="6" t="inlineStr"/>
    </row>
    <row r="24">
      <c r="A24" s="7" t="inlineStr">
        <is>
          <t>Base revenue (latest FY)</t>
        </is>
      </c>
      <c r="B24" s="14" t="n">
        <v>416161</v>
      </c>
      <c r="C24" s="9" t="inlineStr">
        <is>
          <t>$M</t>
        </is>
      </c>
      <c r="D24" s="10" t="inlineStr">
        <is>
          <t>AAPL FY2025 Revenue (10-K)</t>
        </is>
      </c>
    </row>
    <row r="25">
      <c r="A25" s="7" t="inlineStr">
        <is>
          <t>Base net working capital</t>
        </is>
      </c>
      <c r="B25" s="14" t="n">
        <v>-24365</v>
      </c>
      <c r="C25" s="9" t="inlineStr">
        <is>
          <t>$M</t>
        </is>
      </c>
      <c r="D25" s="10" t="inlineStr">
        <is>
          <t>AR + inventory - AP, latest FY (10-K)</t>
        </is>
      </c>
    </row>
    <row r="26">
      <c r="A26" s="7" t="inlineStr">
        <is>
          <t>Total debt</t>
        </is>
      </c>
      <c r="B26" s="14" t="n">
        <v>98657</v>
      </c>
      <c r="C26" s="9" t="inlineStr">
        <is>
          <t>$M</t>
        </is>
      </c>
      <c r="D26" s="10" t="inlineStr">
        <is>
          <t>AAPL latest 10-K total debt</t>
        </is>
      </c>
    </row>
    <row r="27">
      <c r="A27" s="7" t="inlineStr">
        <is>
          <t>Net debt</t>
        </is>
      </c>
      <c r="B27" s="14" t="n">
        <v>43960</v>
      </c>
      <c r="C27" s="9" t="inlineStr">
        <is>
          <t>$M</t>
        </is>
      </c>
      <c r="D27" s="10" t="inlineStr">
        <is>
          <t>total debt - cash - short-term investments (10-K)</t>
        </is>
      </c>
    </row>
    <row r="28">
      <c r="A28" s="7" t="inlineStr">
        <is>
          <t>Shares outstanding</t>
        </is>
      </c>
      <c r="B28" s="15" t="n">
        <v>14594.18</v>
      </c>
      <c r="C28" s="9" t="inlineStr">
        <is>
          <t>M sh</t>
        </is>
      </c>
      <c r="D28" s="10" t="inlineStr">
        <is>
          <t>yfinance snapshot</t>
        </is>
      </c>
    </row>
    <row r="29">
      <c r="A29" s="7" t="inlineStr">
        <is>
          <t>Current share price</t>
        </is>
      </c>
      <c r="B29" s="16" t="n">
        <v>312.0950012207031</v>
      </c>
      <c r="C29" s="9" t="inlineStr">
        <is>
          <t>$</t>
        </is>
      </c>
      <c r="D29" s="10" t="inlineStr">
        <is>
          <t>yfinance snapshot 2026-08-07</t>
        </is>
      </c>
    </row>
    <row r="30">
      <c r="A30" s="7" t="inlineStr">
        <is>
          <t>Market capitalisation</t>
        </is>
      </c>
      <c r="B30" s="14" t="n">
        <v>4554770.624915161</v>
      </c>
      <c r="C30" s="9" t="inlineStr">
        <is>
          <t>$M</t>
        </is>
      </c>
      <c r="D30" s="10" t="inlineStr">
        <is>
          <t>price x shares (snapshot)</t>
        </is>
      </c>
    </row>
    <row r="31">
      <c r="A31" s="4" t="inlineStr">
        <is>
          <t>WACC BUILD (calculated)</t>
        </is>
      </c>
      <c r="B31" s="6" t="inlineStr"/>
      <c r="C31" s="6" t="inlineStr"/>
      <c r="D31" s="6" t="inlineStr"/>
    </row>
    <row r="32">
      <c r="A32" s="7" t="inlineStr">
        <is>
          <t>Cost of equity</t>
        </is>
      </c>
      <c r="B32" s="17">
        <f>rf+beta*erp</f>
        <v/>
      </c>
      <c r="C32" s="9" t="inlineStr">
        <is>
          <t>%</t>
        </is>
      </c>
      <c r="D32" s="10" t="inlineStr">
        <is>
          <t>CAPM: rf + beta x ERP</t>
        </is>
      </c>
    </row>
    <row r="33">
      <c r="A33" s="7" t="inlineStr">
        <is>
          <t>After-tax cost of debt</t>
        </is>
      </c>
      <c r="B33" s="17">
        <f>kd_pre*(1-tax)</f>
        <v/>
      </c>
      <c r="C33" s="9" t="inlineStr">
        <is>
          <t>%</t>
        </is>
      </c>
      <c r="D33" s="10" t="inlineStr">
        <is>
          <t>kd x (1 - tax)</t>
        </is>
      </c>
    </row>
    <row r="34">
      <c r="A34" s="7" t="inlineStr">
        <is>
          <t>Weight of equity</t>
        </is>
      </c>
      <c r="B34" s="17">
        <f>MktCap/(MktCap+TotalDebt)</f>
        <v/>
      </c>
      <c r="C34" s="9" t="inlineStr">
        <is>
          <t>%</t>
        </is>
      </c>
      <c r="D34" s="10" t="inlineStr">
        <is>
          <t>E / (E + D)</t>
        </is>
      </c>
    </row>
    <row r="35">
      <c r="A35" s="7" t="inlineStr">
        <is>
          <t>Weight of debt</t>
        </is>
      </c>
      <c r="B35" s="17">
        <f>TotalDebt/(MktCap+TotalDebt)</f>
        <v/>
      </c>
      <c r="C35" s="9" t="inlineStr">
        <is>
          <t>%</t>
        </is>
      </c>
      <c r="D35" s="10" t="inlineStr">
        <is>
          <t>D / (E + D)</t>
        </is>
      </c>
    </row>
    <row r="36">
      <c r="A36" s="7" t="inlineStr">
        <is>
          <t>WACC</t>
        </is>
      </c>
      <c r="B36" s="17">
        <f>WgtEquity*CostEquity+WgtDebt*AfterTaxKd</f>
        <v/>
      </c>
      <c r="C36" s="9" t="inlineStr">
        <is>
          <t>%</t>
        </is>
      </c>
      <c r="D36" s="10" t="inlineStr">
        <is>
          <t>weighted average cost of capital</t>
        </is>
      </c>
    </row>
    <row r="38">
      <c r="A38" s="4" t="inlineStr">
        <is>
          <t>LEGEND — model conventions</t>
        </is>
      </c>
      <c r="B38" s="6" t="inlineStr"/>
      <c r="C38" s="6" t="inlineStr"/>
      <c r="D38" s="6" t="inlineStr"/>
    </row>
    <row r="39" ht="22" customHeight="1">
      <c r="A39" s="18" t="inlineStr">
        <is>
          <t>Yellow fill, blue font</t>
        </is>
      </c>
      <c r="B39" s="10" t="inlineStr">
        <is>
          <t>Key assumption — intended for you to edit. Drives the whole model.</t>
        </is>
      </c>
    </row>
    <row r="40" ht="22" customHeight="1">
      <c r="A40" s="19" t="inlineStr">
        <is>
          <t>Blue font (no fill)</t>
        </is>
      </c>
      <c r="B40" s="10" t="inlineStr">
        <is>
          <t>Hard-coded input: a reported SEC actual or a market snapshot.</t>
        </is>
      </c>
    </row>
    <row r="41" ht="22" customHeight="1">
      <c r="A41" s="20" t="inlineStr">
        <is>
          <t>Black font</t>
        </is>
      </c>
      <c r="B41" s="10" t="inlineStr">
        <is>
          <t>Formula — calculated live by Excel. Do not overwrite.</t>
        </is>
      </c>
    </row>
    <row r="42" ht="22" customHeight="1">
      <c r="A42" s="21" t="inlineStr">
        <is>
          <t>Red fill / red text</t>
        </is>
      </c>
      <c r="B42" s="10" t="inlineStr">
        <is>
          <t>Could NOT be derived from this company's filings — a generic default. Verify or replace before relying on the output.</t>
        </is>
      </c>
    </row>
  </sheetData>
  <mergeCells count="4">
    <mergeCell ref="B40:D40"/>
    <mergeCell ref="B39:D39"/>
    <mergeCell ref="B41:D41"/>
    <mergeCell ref="B42:D42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Discounted Cash Flow — unlevered FCFF ($M)</t>
        </is>
      </c>
      <c r="B1" s="2" t="inlineStr"/>
      <c r="C1" s="2" t="inlineStr"/>
      <c r="D1" s="2" t="inlineStr"/>
      <c r="E1" s="2" t="inlineStr"/>
      <c r="F1" s="2" t="inlineStr"/>
      <c r="G1" s="2" t="inlineStr"/>
    </row>
    <row r="2">
      <c r="A2" s="3" t="inlineStr">
        <is>
          <t>Black = formula (recalculates). Edit assumptions on the Assumptions tab.</t>
        </is>
      </c>
    </row>
    <row r="3">
      <c r="A3" s="4" t="inlineStr">
        <is>
          <t>($ millions)</t>
        </is>
      </c>
      <c r="B3" s="5" t="inlineStr">
        <is>
          <t>Base FY0</t>
        </is>
      </c>
      <c r="C3" s="5" t="inlineStr">
        <is>
          <t>Year 1</t>
        </is>
      </c>
      <c r="D3" s="5" t="inlineStr">
        <is>
          <t>Year 2</t>
        </is>
      </c>
      <c r="E3" s="5" t="inlineStr">
        <is>
          <t>Year 3</t>
        </is>
      </c>
      <c r="F3" s="5" t="inlineStr">
        <is>
          <t>Year 4</t>
        </is>
      </c>
      <c r="G3" s="5" t="inlineStr">
        <is>
          <t>Year 5</t>
        </is>
      </c>
    </row>
    <row r="4">
      <c r="A4" s="22" t="inlineStr">
        <is>
          <t>Period (t)</t>
        </is>
      </c>
      <c r="B4" s="9" t="n">
        <v>0</v>
      </c>
      <c r="C4" s="9" t="n">
        <v>1</v>
      </c>
      <c r="D4" s="9" t="n">
        <v>2</v>
      </c>
      <c r="E4" s="9" t="n">
        <v>3</v>
      </c>
      <c r="F4" s="9" t="n">
        <v>4</v>
      </c>
      <c r="G4" s="9" t="n">
        <v>5</v>
      </c>
    </row>
    <row r="5">
      <c r="A5" s="7" t="inlineStr">
        <is>
          <t>Revenue growth</t>
        </is>
      </c>
      <c r="C5" s="23">
        <f>g_init+(g_term-g_init)*(C4-1)/(Nyears-1)</f>
        <v/>
      </c>
      <c r="D5" s="23">
        <f>g_init+(g_term-g_init)*(D4-1)/(Nyears-1)</f>
        <v/>
      </c>
      <c r="E5" s="23">
        <f>g_init+(g_term-g_init)*(E4-1)/(Nyears-1)</f>
        <v/>
      </c>
      <c r="F5" s="23">
        <f>g_init+(g_term-g_init)*(F4-1)/(Nyears-1)</f>
        <v/>
      </c>
      <c r="G5" s="23">
        <f>g_init+(g_term-g_init)*(G4-1)/(Nyears-1)</f>
        <v/>
      </c>
    </row>
    <row r="6">
      <c r="A6" s="24" t="inlineStr">
        <is>
          <t>Revenue</t>
        </is>
      </c>
      <c r="B6" s="25">
        <f>Rev0</f>
        <v/>
      </c>
      <c r="C6" s="25">
        <f>B6*(1+C5)</f>
        <v/>
      </c>
      <c r="D6" s="25">
        <f>C6*(1+D5)</f>
        <v/>
      </c>
      <c r="E6" s="25">
        <f>D6*(1+E5)</f>
        <v/>
      </c>
      <c r="F6" s="25">
        <f>E6*(1+F5)</f>
        <v/>
      </c>
      <c r="G6" s="25">
        <f>F6*(1+G5)</f>
        <v/>
      </c>
    </row>
    <row r="7">
      <c r="A7" s="7" t="inlineStr">
        <is>
          <t>EBIT margin</t>
        </is>
      </c>
      <c r="B7" s="23">
        <f>m_start</f>
        <v/>
      </c>
      <c r="C7" s="23">
        <f>m_start+(m_target-m_start)*C4/Nyears</f>
        <v/>
      </c>
      <c r="D7" s="23">
        <f>m_start+(m_target-m_start)*D4/Nyears</f>
        <v/>
      </c>
      <c r="E7" s="23">
        <f>m_start+(m_target-m_start)*E4/Nyears</f>
        <v/>
      </c>
      <c r="F7" s="23">
        <f>m_start+(m_target-m_start)*F4/Nyears</f>
        <v/>
      </c>
      <c r="G7" s="23">
        <f>m_start+(m_target-m_start)*G4/Nyears</f>
        <v/>
      </c>
    </row>
    <row r="8">
      <c r="A8" s="24" t="inlineStr">
        <is>
          <t>EBIT</t>
        </is>
      </c>
      <c r="C8" s="25">
        <f>C6*C7</f>
        <v/>
      </c>
      <c r="D8" s="25">
        <f>D6*D7</f>
        <v/>
      </c>
      <c r="E8" s="25">
        <f>E6*E7</f>
        <v/>
      </c>
      <c r="F8" s="25">
        <f>F6*F7</f>
        <v/>
      </c>
      <c r="G8" s="25">
        <f>G6*G7</f>
        <v/>
      </c>
    </row>
    <row r="9">
      <c r="A9" s="7" t="inlineStr">
        <is>
          <t>NOPAT = EBIT x (1-tax)</t>
        </is>
      </c>
      <c r="C9" s="25">
        <f>C8*(1-tax)</f>
        <v/>
      </c>
      <c r="D9" s="25">
        <f>D8*(1-tax)</f>
        <v/>
      </c>
      <c r="E9" s="25">
        <f>E8*(1-tax)</f>
        <v/>
      </c>
      <c r="F9" s="25">
        <f>F8*(1-tax)</f>
        <v/>
      </c>
      <c r="G9" s="25">
        <f>G8*(1-tax)</f>
        <v/>
      </c>
    </row>
    <row r="10">
      <c r="A10" s="7" t="inlineStr">
        <is>
          <t>(+) D&amp;A</t>
        </is>
      </c>
      <c r="C10" s="25">
        <f>C6*da_pct</f>
        <v/>
      </c>
      <c r="D10" s="25">
        <f>D6*da_pct</f>
        <v/>
      </c>
      <c r="E10" s="25">
        <f>E6*da_pct</f>
        <v/>
      </c>
      <c r="F10" s="25">
        <f>F6*da_pct</f>
        <v/>
      </c>
      <c r="G10" s="25">
        <f>G6*da_pct</f>
        <v/>
      </c>
    </row>
    <row r="11">
      <c r="A11" s="7" t="inlineStr">
        <is>
          <t>(-) Capex</t>
        </is>
      </c>
      <c r="C11" s="25">
        <f>C6*capex_pct</f>
        <v/>
      </c>
      <c r="D11" s="25">
        <f>D6*capex_pct</f>
        <v/>
      </c>
      <c r="E11" s="25">
        <f>E6*capex_pct</f>
        <v/>
      </c>
      <c r="F11" s="25">
        <f>F6*capex_pct</f>
        <v/>
      </c>
      <c r="G11" s="25">
        <f>G6*capex_pct</f>
        <v/>
      </c>
    </row>
    <row r="12">
      <c r="A12" s="7" t="inlineStr">
        <is>
          <t>Net working capital</t>
        </is>
      </c>
      <c r="B12" s="25">
        <f>NWC0</f>
        <v/>
      </c>
      <c r="C12" s="25">
        <f>C6*nwc_pct</f>
        <v/>
      </c>
      <c r="D12" s="25">
        <f>D6*nwc_pct</f>
        <v/>
      </c>
      <c r="E12" s="25">
        <f>E6*nwc_pct</f>
        <v/>
      </c>
      <c r="F12" s="25">
        <f>F6*nwc_pct</f>
        <v/>
      </c>
      <c r="G12" s="25">
        <f>G6*nwc_pct</f>
        <v/>
      </c>
    </row>
    <row r="13">
      <c r="A13" s="7" t="inlineStr">
        <is>
          <t>(-) Change in NWC</t>
        </is>
      </c>
      <c r="C13" s="25">
        <f>C12-B12</f>
        <v/>
      </c>
      <c r="D13" s="25">
        <f>D12-C12</f>
        <v/>
      </c>
      <c r="E13" s="25">
        <f>E12-D12</f>
        <v/>
      </c>
      <c r="F13" s="25">
        <f>F12-E12</f>
        <v/>
      </c>
      <c r="G13" s="25">
        <f>G12-F12</f>
        <v/>
      </c>
    </row>
    <row r="14">
      <c r="A14" s="24" t="inlineStr">
        <is>
          <t>Unlevered FCFF</t>
        </is>
      </c>
      <c r="C14" s="26">
        <f>C9+C10-C11-C13</f>
        <v/>
      </c>
      <c r="D14" s="26">
        <f>D9+D10-D11-D13</f>
        <v/>
      </c>
      <c r="E14" s="26">
        <f>E9+E10-E11-E13</f>
        <v/>
      </c>
      <c r="F14" s="26">
        <f>F9+F10-F11-F13</f>
        <v/>
      </c>
      <c r="G14" s="26">
        <f>G9+G10-G11-G13</f>
        <v/>
      </c>
    </row>
    <row r="15">
      <c r="A15" s="7" t="inlineStr">
        <is>
          <t>Discount factor</t>
        </is>
      </c>
      <c r="C15" s="27">
        <f>1/(1+WACC)^C4</f>
        <v/>
      </c>
      <c r="D15" s="27">
        <f>1/(1+WACC)^D4</f>
        <v/>
      </c>
      <c r="E15" s="27">
        <f>1/(1+WACC)^E4</f>
        <v/>
      </c>
      <c r="F15" s="27">
        <f>1/(1+WACC)^F4</f>
        <v/>
      </c>
      <c r="G15" s="27">
        <f>1/(1+WACC)^G4</f>
        <v/>
      </c>
    </row>
    <row r="16">
      <c r="A16" s="24" t="inlineStr">
        <is>
          <t>PV of FCFF</t>
        </is>
      </c>
      <c r="C16" s="26">
        <f>C14*C15</f>
        <v/>
      </c>
      <c r="D16" s="26">
        <f>D14*D15</f>
        <v/>
      </c>
      <c r="E16" s="26">
        <f>E14*E15</f>
        <v/>
      </c>
      <c r="F16" s="26">
        <f>F14*F15</f>
        <v/>
      </c>
      <c r="G16" s="26">
        <f>G14*G15</f>
        <v/>
      </c>
    </row>
    <row r="18">
      <c r="A18" s="4" t="inlineStr">
        <is>
          <t>VALUATION BRIDGE</t>
        </is>
      </c>
      <c r="B18" s="5" t="inlineStr">
        <is>
          <t>Gordon</t>
        </is>
      </c>
      <c r="C18" s="5" t="inlineStr">
        <is>
          <t>Exit mult.</t>
        </is>
      </c>
    </row>
    <row r="19">
      <c r="A19" s="7" t="inlineStr">
        <is>
          <t>PV of explicit FCFF</t>
        </is>
      </c>
      <c r="B19" s="25">
        <f>SUM(C16:G16)</f>
        <v/>
      </c>
      <c r="C19" s="25">
        <f>SUM(C16:G16)</f>
        <v/>
      </c>
    </row>
    <row r="20">
      <c r="A20" s="7" t="inlineStr">
        <is>
          <t>Terminal value (undiscounted)</t>
        </is>
      </c>
      <c r="B20" s="25">
        <f>G14*(1+g_term)/(WACC-g_term)</f>
        <v/>
      </c>
      <c r="C20" s="25">
        <f>(G8+G10)*exit_mult</f>
        <v/>
      </c>
    </row>
    <row r="21">
      <c r="A21" s="7" t="inlineStr">
        <is>
          <t>PV of terminal value</t>
        </is>
      </c>
      <c r="B21" s="25">
        <f>B20*G15</f>
        <v/>
      </c>
      <c r="C21" s="25">
        <f>C20*G15</f>
        <v/>
      </c>
    </row>
    <row r="22">
      <c r="A22" s="24" t="inlineStr">
        <is>
          <t>Enterprise value</t>
        </is>
      </c>
      <c r="B22" s="26">
        <f>B19+B21</f>
        <v/>
      </c>
      <c r="C22" s="26">
        <f>C19+C21</f>
        <v/>
      </c>
    </row>
    <row r="23">
      <c r="A23" s="7" t="inlineStr">
        <is>
          <t>(-) Net debt</t>
        </is>
      </c>
      <c r="B23" s="25">
        <f>NetDebt</f>
        <v/>
      </c>
      <c r="C23" s="25">
        <f>NetDebt</f>
        <v/>
      </c>
    </row>
    <row r="24">
      <c r="A24" s="24" t="inlineStr">
        <is>
          <t>Equity value</t>
        </is>
      </c>
      <c r="B24" s="26">
        <f>B22-B23</f>
        <v/>
      </c>
      <c r="C24" s="26">
        <f>C22-C23</f>
        <v/>
      </c>
    </row>
    <row r="25">
      <c r="A25" s="24" t="inlineStr">
        <is>
          <t>Implied share price</t>
        </is>
      </c>
      <c r="B25" s="28">
        <f>B24/Shares</f>
        <v/>
      </c>
      <c r="C25" s="28">
        <f>C24/Shares</f>
        <v/>
      </c>
    </row>
    <row r="26">
      <c r="A26" s="7" t="inlineStr">
        <is>
          <t>Current share price</t>
        </is>
      </c>
      <c r="B26" s="29">
        <f>CurPrice</f>
        <v/>
      </c>
      <c r="C26" s="29">
        <f>CurPrice</f>
        <v/>
      </c>
    </row>
    <row r="27">
      <c r="A27" s="24" t="inlineStr">
        <is>
          <t>Upside / (downside)</t>
        </is>
      </c>
      <c r="B27" s="30">
        <f>B25/CurPrice-1</f>
        <v/>
      </c>
      <c r="C27" s="30">
        <f>C25/CurPrice-1</f>
        <v/>
      </c>
    </row>
    <row r="29">
      <c r="A29" s="4" t="inlineStr">
        <is>
          <t>CROSS-CHECKS</t>
        </is>
      </c>
      <c r="B29" s="6" t="inlineStr"/>
    </row>
    <row r="30">
      <c r="A30" s="7" t="inlineStr">
        <is>
          <t>Terminal value % of EV (Gordon)</t>
        </is>
      </c>
      <c r="B30" s="31">
        <f>B21/B22</f>
        <v/>
      </c>
    </row>
    <row r="31">
      <c r="A31" s="7" t="inlineStr">
        <is>
          <t>Gordon TV implied EV/EBITDA</t>
        </is>
      </c>
      <c r="B31" s="32">
        <f>B20/(G8+G10)</f>
        <v/>
      </c>
    </row>
  </sheetData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Sensitivity — implied share price (Gordon): WACC x terminal growth</t>
        </is>
      </c>
      <c r="B1" s="2" t="inlineStr"/>
      <c r="C1" s="2" t="inlineStr"/>
      <c r="D1" s="2" t="inlineStr"/>
      <c r="E1" s="2" t="inlineStr"/>
      <c r="F1" s="2" t="inlineStr"/>
      <c r="G1" s="2" t="inlineStr"/>
    </row>
    <row r="2">
      <c r="A2" s="3" t="inlineStr">
        <is>
          <t>Every cell is a live formula off the DCF FCFF stream — recalculates with the assumptions.</t>
        </is>
      </c>
    </row>
    <row r="3">
      <c r="A3" s="9" t="inlineStr">
        <is>
          <t>WACC \ g</t>
        </is>
      </c>
    </row>
    <row r="4">
      <c r="A4" s="33">
        <f>DCF!$B$25</f>
        <v/>
      </c>
      <c r="B4" s="34">
        <f>g_term+(-0.01)</f>
        <v/>
      </c>
      <c r="C4" s="34">
        <f>g_term+(-0.005)</f>
        <v/>
      </c>
      <c r="D4" s="34">
        <f>g_term+(0.0)</f>
        <v/>
      </c>
      <c r="E4" s="34">
        <f>g_term+(0.005)</f>
        <v/>
      </c>
      <c r="F4" s="34">
        <f>g_term+(0.01)</f>
        <v/>
      </c>
    </row>
    <row r="5">
      <c r="A5" s="35">
        <f>WACC+(-0.015)</f>
        <v/>
      </c>
      <c r="B5" s="36">
        <f>((DCF!$C$14/(1+$A5)^1+DCF!$D$14/(1+$A5)^2+DCF!$E$14/(1+$A5)^3+DCF!$F$14/(1+$A5)^4+DCF!$G$14/(1+$A5)^5)+(DCF!$G$14*(1+B$4)/($A5-B$4)/(1+$A5)^5)-NetDebt)/Shares</f>
        <v/>
      </c>
      <c r="C5" s="36">
        <f>((DCF!$C$14/(1+$A5)^1+DCF!$D$14/(1+$A5)^2+DCF!$E$14/(1+$A5)^3+DCF!$F$14/(1+$A5)^4+DCF!$G$14/(1+$A5)^5)+(DCF!$G$14*(1+C$4)/($A5-C$4)/(1+$A5)^5)-NetDebt)/Shares</f>
        <v/>
      </c>
      <c r="D5" s="36">
        <f>((DCF!$C$14/(1+$A5)^1+DCF!$D$14/(1+$A5)^2+DCF!$E$14/(1+$A5)^3+DCF!$F$14/(1+$A5)^4+DCF!$G$14/(1+$A5)^5)+(DCF!$G$14*(1+D$4)/($A5-D$4)/(1+$A5)^5)-NetDebt)/Shares</f>
        <v/>
      </c>
      <c r="E5" s="36">
        <f>((DCF!$C$14/(1+$A5)^1+DCF!$D$14/(1+$A5)^2+DCF!$E$14/(1+$A5)^3+DCF!$F$14/(1+$A5)^4+DCF!$G$14/(1+$A5)^5)+(DCF!$G$14*(1+E$4)/($A5-E$4)/(1+$A5)^5)-NetDebt)/Shares</f>
        <v/>
      </c>
      <c r="F5" s="36">
        <f>((DCF!$C$14/(1+$A5)^1+DCF!$D$14/(1+$A5)^2+DCF!$E$14/(1+$A5)^3+DCF!$F$14/(1+$A5)^4+DCF!$G$14/(1+$A5)^5)+(DCF!$G$14*(1+F$4)/($A5-F$4)/(1+$A5)^5)-NetDebt)/Shares</f>
        <v/>
      </c>
    </row>
    <row r="6">
      <c r="A6" s="35">
        <f>WACC+(-0.01)</f>
        <v/>
      </c>
      <c r="B6" s="36">
        <f>((DCF!$C$14/(1+$A6)^1+DCF!$D$14/(1+$A6)^2+DCF!$E$14/(1+$A6)^3+DCF!$F$14/(1+$A6)^4+DCF!$G$14/(1+$A6)^5)+(DCF!$G$14*(1+B$4)/($A6-B$4)/(1+$A6)^5)-NetDebt)/Shares</f>
        <v/>
      </c>
      <c r="C6" s="36">
        <f>((DCF!$C$14/(1+$A6)^1+DCF!$D$14/(1+$A6)^2+DCF!$E$14/(1+$A6)^3+DCF!$F$14/(1+$A6)^4+DCF!$G$14/(1+$A6)^5)+(DCF!$G$14*(1+C$4)/($A6-C$4)/(1+$A6)^5)-NetDebt)/Shares</f>
        <v/>
      </c>
      <c r="D6" s="36">
        <f>((DCF!$C$14/(1+$A6)^1+DCF!$D$14/(1+$A6)^2+DCF!$E$14/(1+$A6)^3+DCF!$F$14/(1+$A6)^4+DCF!$G$14/(1+$A6)^5)+(DCF!$G$14*(1+D$4)/($A6-D$4)/(1+$A6)^5)-NetDebt)/Shares</f>
        <v/>
      </c>
      <c r="E6" s="36">
        <f>((DCF!$C$14/(1+$A6)^1+DCF!$D$14/(1+$A6)^2+DCF!$E$14/(1+$A6)^3+DCF!$F$14/(1+$A6)^4+DCF!$G$14/(1+$A6)^5)+(DCF!$G$14*(1+E$4)/($A6-E$4)/(1+$A6)^5)-NetDebt)/Shares</f>
        <v/>
      </c>
      <c r="F6" s="36">
        <f>((DCF!$C$14/(1+$A6)^1+DCF!$D$14/(1+$A6)^2+DCF!$E$14/(1+$A6)^3+DCF!$F$14/(1+$A6)^4+DCF!$G$14/(1+$A6)^5)+(DCF!$G$14*(1+F$4)/($A6-F$4)/(1+$A6)^5)-NetDebt)/Shares</f>
        <v/>
      </c>
    </row>
    <row r="7">
      <c r="A7" s="35">
        <f>WACC+(-0.005)</f>
        <v/>
      </c>
      <c r="B7" s="36">
        <f>((DCF!$C$14/(1+$A7)^1+DCF!$D$14/(1+$A7)^2+DCF!$E$14/(1+$A7)^3+DCF!$F$14/(1+$A7)^4+DCF!$G$14/(1+$A7)^5)+(DCF!$G$14*(1+B$4)/($A7-B$4)/(1+$A7)^5)-NetDebt)/Shares</f>
        <v/>
      </c>
      <c r="C7" s="36">
        <f>((DCF!$C$14/(1+$A7)^1+DCF!$D$14/(1+$A7)^2+DCF!$E$14/(1+$A7)^3+DCF!$F$14/(1+$A7)^4+DCF!$G$14/(1+$A7)^5)+(DCF!$G$14*(1+C$4)/($A7-C$4)/(1+$A7)^5)-NetDebt)/Shares</f>
        <v/>
      </c>
      <c r="D7" s="36">
        <f>((DCF!$C$14/(1+$A7)^1+DCF!$D$14/(1+$A7)^2+DCF!$E$14/(1+$A7)^3+DCF!$F$14/(1+$A7)^4+DCF!$G$14/(1+$A7)^5)+(DCF!$G$14*(1+D$4)/($A7-D$4)/(1+$A7)^5)-NetDebt)/Shares</f>
        <v/>
      </c>
      <c r="E7" s="36">
        <f>((DCF!$C$14/(1+$A7)^1+DCF!$D$14/(1+$A7)^2+DCF!$E$14/(1+$A7)^3+DCF!$F$14/(1+$A7)^4+DCF!$G$14/(1+$A7)^5)+(DCF!$G$14*(1+E$4)/($A7-E$4)/(1+$A7)^5)-NetDebt)/Shares</f>
        <v/>
      </c>
      <c r="F7" s="36">
        <f>((DCF!$C$14/(1+$A7)^1+DCF!$D$14/(1+$A7)^2+DCF!$E$14/(1+$A7)^3+DCF!$F$14/(1+$A7)^4+DCF!$G$14/(1+$A7)^5)+(DCF!$G$14*(1+F$4)/($A7-F$4)/(1+$A7)^5)-NetDebt)/Shares</f>
        <v/>
      </c>
    </row>
    <row r="8">
      <c r="A8" s="35">
        <f>WACC+(0.0)</f>
        <v/>
      </c>
      <c r="B8" s="36">
        <f>((DCF!$C$14/(1+$A8)^1+DCF!$D$14/(1+$A8)^2+DCF!$E$14/(1+$A8)^3+DCF!$F$14/(1+$A8)^4+DCF!$G$14/(1+$A8)^5)+(DCF!$G$14*(1+B$4)/($A8-B$4)/(1+$A8)^5)-NetDebt)/Shares</f>
        <v/>
      </c>
      <c r="C8" s="36">
        <f>((DCF!$C$14/(1+$A8)^1+DCF!$D$14/(1+$A8)^2+DCF!$E$14/(1+$A8)^3+DCF!$F$14/(1+$A8)^4+DCF!$G$14/(1+$A8)^5)+(DCF!$G$14*(1+C$4)/($A8-C$4)/(1+$A8)^5)-NetDebt)/Shares</f>
        <v/>
      </c>
      <c r="D8" s="36">
        <f>((DCF!$C$14/(1+$A8)^1+DCF!$D$14/(1+$A8)^2+DCF!$E$14/(1+$A8)^3+DCF!$F$14/(1+$A8)^4+DCF!$G$14/(1+$A8)^5)+(DCF!$G$14*(1+D$4)/($A8-D$4)/(1+$A8)^5)-NetDebt)/Shares</f>
        <v/>
      </c>
      <c r="E8" s="36">
        <f>((DCF!$C$14/(1+$A8)^1+DCF!$D$14/(1+$A8)^2+DCF!$E$14/(1+$A8)^3+DCF!$F$14/(1+$A8)^4+DCF!$G$14/(1+$A8)^5)+(DCF!$G$14*(1+E$4)/($A8-E$4)/(1+$A8)^5)-NetDebt)/Shares</f>
        <v/>
      </c>
      <c r="F8" s="36">
        <f>((DCF!$C$14/(1+$A8)^1+DCF!$D$14/(1+$A8)^2+DCF!$E$14/(1+$A8)^3+DCF!$F$14/(1+$A8)^4+DCF!$G$14/(1+$A8)^5)+(DCF!$G$14*(1+F$4)/($A8-F$4)/(1+$A8)^5)-NetDebt)/Shares</f>
        <v/>
      </c>
    </row>
    <row r="9">
      <c r="A9" s="35">
        <f>WACC+(0.005)</f>
        <v/>
      </c>
      <c r="B9" s="36">
        <f>((DCF!$C$14/(1+$A9)^1+DCF!$D$14/(1+$A9)^2+DCF!$E$14/(1+$A9)^3+DCF!$F$14/(1+$A9)^4+DCF!$G$14/(1+$A9)^5)+(DCF!$G$14*(1+B$4)/($A9-B$4)/(1+$A9)^5)-NetDebt)/Shares</f>
        <v/>
      </c>
      <c r="C9" s="36">
        <f>((DCF!$C$14/(1+$A9)^1+DCF!$D$14/(1+$A9)^2+DCF!$E$14/(1+$A9)^3+DCF!$F$14/(1+$A9)^4+DCF!$G$14/(1+$A9)^5)+(DCF!$G$14*(1+C$4)/($A9-C$4)/(1+$A9)^5)-NetDebt)/Shares</f>
        <v/>
      </c>
      <c r="D9" s="36">
        <f>((DCF!$C$14/(1+$A9)^1+DCF!$D$14/(1+$A9)^2+DCF!$E$14/(1+$A9)^3+DCF!$F$14/(1+$A9)^4+DCF!$G$14/(1+$A9)^5)+(DCF!$G$14*(1+D$4)/($A9-D$4)/(1+$A9)^5)-NetDebt)/Shares</f>
        <v/>
      </c>
      <c r="E9" s="36">
        <f>((DCF!$C$14/(1+$A9)^1+DCF!$D$14/(1+$A9)^2+DCF!$E$14/(1+$A9)^3+DCF!$F$14/(1+$A9)^4+DCF!$G$14/(1+$A9)^5)+(DCF!$G$14*(1+E$4)/($A9-E$4)/(1+$A9)^5)-NetDebt)/Shares</f>
        <v/>
      </c>
      <c r="F9" s="36">
        <f>((DCF!$C$14/(1+$A9)^1+DCF!$D$14/(1+$A9)^2+DCF!$E$14/(1+$A9)^3+DCF!$F$14/(1+$A9)^4+DCF!$G$14/(1+$A9)^5)+(DCF!$G$14*(1+F$4)/($A9-F$4)/(1+$A9)^5)-NetDebt)/Shares</f>
        <v/>
      </c>
    </row>
    <row r="10">
      <c r="A10" s="35">
        <f>WACC+(0.01)</f>
        <v/>
      </c>
      <c r="B10" s="36">
        <f>((DCF!$C$14/(1+$A10)^1+DCF!$D$14/(1+$A10)^2+DCF!$E$14/(1+$A10)^3+DCF!$F$14/(1+$A10)^4+DCF!$G$14/(1+$A10)^5)+(DCF!$G$14*(1+B$4)/($A10-B$4)/(1+$A10)^5)-NetDebt)/Shares</f>
        <v/>
      </c>
      <c r="C10" s="36">
        <f>((DCF!$C$14/(1+$A10)^1+DCF!$D$14/(1+$A10)^2+DCF!$E$14/(1+$A10)^3+DCF!$F$14/(1+$A10)^4+DCF!$G$14/(1+$A10)^5)+(DCF!$G$14*(1+C$4)/($A10-C$4)/(1+$A10)^5)-NetDebt)/Shares</f>
        <v/>
      </c>
      <c r="D10" s="36">
        <f>((DCF!$C$14/(1+$A10)^1+DCF!$D$14/(1+$A10)^2+DCF!$E$14/(1+$A10)^3+DCF!$F$14/(1+$A10)^4+DCF!$G$14/(1+$A10)^5)+(DCF!$G$14*(1+D$4)/($A10-D$4)/(1+$A10)^5)-NetDebt)/Shares</f>
        <v/>
      </c>
      <c r="E10" s="36">
        <f>((DCF!$C$14/(1+$A10)^1+DCF!$D$14/(1+$A10)^2+DCF!$E$14/(1+$A10)^3+DCF!$F$14/(1+$A10)^4+DCF!$G$14/(1+$A10)^5)+(DCF!$G$14*(1+E$4)/($A10-E$4)/(1+$A10)^5)-NetDebt)/Shares</f>
        <v/>
      </c>
      <c r="F10" s="36">
        <f>((DCF!$C$14/(1+$A10)^1+DCF!$D$14/(1+$A10)^2+DCF!$E$14/(1+$A10)^3+DCF!$F$14/(1+$A10)^4+DCF!$G$14/(1+$A10)^5)+(DCF!$G$14*(1+F$4)/($A10-F$4)/(1+$A10)^5)-NetDebt)/Shares</f>
        <v/>
      </c>
    </row>
    <row r="11">
      <c r="A11" s="35">
        <f>WACC+(0.015)</f>
        <v/>
      </c>
      <c r="B11" s="36">
        <f>((DCF!$C$14/(1+$A11)^1+DCF!$D$14/(1+$A11)^2+DCF!$E$14/(1+$A11)^3+DCF!$F$14/(1+$A11)^4+DCF!$G$14/(1+$A11)^5)+(DCF!$G$14*(1+B$4)/($A11-B$4)/(1+$A11)^5)-NetDebt)/Shares</f>
        <v/>
      </c>
      <c r="C11" s="36">
        <f>((DCF!$C$14/(1+$A11)^1+DCF!$D$14/(1+$A11)^2+DCF!$E$14/(1+$A11)^3+DCF!$F$14/(1+$A11)^4+DCF!$G$14/(1+$A11)^5)+(DCF!$G$14*(1+C$4)/($A11-C$4)/(1+$A11)^5)-NetDebt)/Shares</f>
        <v/>
      </c>
      <c r="D11" s="36">
        <f>((DCF!$C$14/(1+$A11)^1+DCF!$D$14/(1+$A11)^2+DCF!$E$14/(1+$A11)^3+DCF!$F$14/(1+$A11)^4+DCF!$G$14/(1+$A11)^5)+(DCF!$G$14*(1+D$4)/($A11-D$4)/(1+$A11)^5)-NetDebt)/Shares</f>
        <v/>
      </c>
      <c r="E11" s="36">
        <f>((DCF!$C$14/(1+$A11)^1+DCF!$D$14/(1+$A11)^2+DCF!$E$14/(1+$A11)^3+DCF!$F$14/(1+$A11)^4+DCF!$G$14/(1+$A11)^5)+(DCF!$G$14*(1+E$4)/($A11-E$4)/(1+$A11)^5)-NetDebt)/Shares</f>
        <v/>
      </c>
      <c r="F11" s="36">
        <f>((DCF!$C$14/(1+$A11)^1+DCF!$D$14/(1+$A11)^2+DCF!$E$14/(1+$A11)^3+DCF!$F$14/(1+$A11)^4+DCF!$G$14/(1+$A11)^5)+(DCF!$G$14*(1+F$4)/($A11-F$4)/(1+$A11)^5)-NetDebt)/Shares</f>
        <v/>
      </c>
    </row>
    <row r="13">
      <c r="A13" s="3" t="inlineStr">
        <is>
          <t>Center cell (boxed value on DCF) = base case. Blue headers recalc off WACC and terminal g on the Assumptions tab.</t>
        </is>
      </c>
    </row>
  </sheetData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40" customWidth="1" min="12" max="12"/>
  </cols>
  <sheetData>
    <row r="1">
      <c r="A1" s="1" t="inlineStr">
        <is>
          <t>AAPL — Historical financials (SEC EDGAR 10-K, $M)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</row>
    <row r="2">
      <c r="A2" s="3" t="inlineStr">
        <is>
          <t>Reported actuals — hard-coded (blue) and cited; not part of the live formula chain.</t>
        </is>
      </c>
    </row>
    <row r="3">
      <c r="A3" s="4" t="inlineStr">
        <is>
          <t>Line item ($M)</t>
        </is>
      </c>
      <c r="B3" s="5" t="inlineStr">
        <is>
          <t>FY2016</t>
        </is>
      </c>
      <c r="C3" s="5" t="inlineStr">
        <is>
          <t>FY2017</t>
        </is>
      </c>
      <c r="D3" s="5" t="inlineStr">
        <is>
          <t>FY2018</t>
        </is>
      </c>
      <c r="E3" s="5" t="inlineStr">
        <is>
          <t>FY2019</t>
        </is>
      </c>
      <c r="F3" s="5" t="inlineStr">
        <is>
          <t>FY2020</t>
        </is>
      </c>
      <c r="G3" s="5" t="inlineStr">
        <is>
          <t>FY2021</t>
        </is>
      </c>
      <c r="H3" s="5" t="inlineStr">
        <is>
          <t>FY2022</t>
        </is>
      </c>
      <c r="I3" s="5" t="inlineStr">
        <is>
          <t>FY2023</t>
        </is>
      </c>
      <c r="J3" s="5" t="inlineStr">
        <is>
          <t>FY2024</t>
        </is>
      </c>
      <c r="K3" s="5" t="inlineStr">
        <is>
          <t>FY2025</t>
        </is>
      </c>
      <c r="L3" s="4" t="inlineStr">
        <is>
          <t>Source</t>
        </is>
      </c>
    </row>
    <row r="4">
      <c r="A4" s="7" t="inlineStr">
        <is>
          <t>Revenue</t>
        </is>
      </c>
      <c r="B4" s="37" t="n">
        <v>215639</v>
      </c>
      <c r="C4" s="37" t="n">
        <v>229234</v>
      </c>
      <c r="D4" s="37" t="n">
        <v>265595</v>
      </c>
      <c r="E4" s="37" t="n">
        <v>260174</v>
      </c>
      <c r="F4" s="37" t="n">
        <v>274515</v>
      </c>
      <c r="G4" s="37" t="n">
        <v>365817</v>
      </c>
      <c r="H4" s="37" t="n">
        <v>394328</v>
      </c>
      <c r="I4" s="37" t="n">
        <v>383285</v>
      </c>
      <c r="J4" s="37" t="n">
        <v>391035</v>
      </c>
      <c r="K4" s="37" t="n">
        <v>416161</v>
      </c>
      <c r="L4" s="38" t="inlineStr">
        <is>
          <t>XBRL: RevenueFromContractWithCustomerExcludingAssessedTax + Revenues + SalesRevenueNet</t>
        </is>
      </c>
    </row>
    <row r="5">
      <c r="A5" s="7" t="inlineStr">
        <is>
          <t>COGS</t>
        </is>
      </c>
      <c r="B5" s="37" t="n">
        <v>131376</v>
      </c>
      <c r="C5" s="37" t="n">
        <v>141048</v>
      </c>
      <c r="D5" s="37" t="n">
        <v>163756</v>
      </c>
      <c r="E5" s="37" t="n">
        <v>161782</v>
      </c>
      <c r="F5" s="37" t="n">
        <v>169559</v>
      </c>
      <c r="G5" s="37" t="n">
        <v>212981</v>
      </c>
      <c r="H5" s="37" t="n">
        <v>223546</v>
      </c>
      <c r="I5" s="37" t="n">
        <v>214137</v>
      </c>
      <c r="J5" s="37" t="n">
        <v>210352</v>
      </c>
      <c r="K5" s="37" t="n">
        <v>220960</v>
      </c>
      <c r="L5" s="38" t="inlineStr">
        <is>
          <t>XBRL: CostOfGoodsAndServicesSold</t>
        </is>
      </c>
    </row>
    <row r="6">
      <c r="A6" s="7" t="inlineStr">
        <is>
          <t>GrossProfit</t>
        </is>
      </c>
      <c r="B6" s="37" t="n">
        <v>84263</v>
      </c>
      <c r="C6" s="37" t="n">
        <v>88186</v>
      </c>
      <c r="D6" s="37" t="n">
        <v>101839</v>
      </c>
      <c r="E6" s="37" t="n">
        <v>98392</v>
      </c>
      <c r="F6" s="37" t="n">
        <v>104956</v>
      </c>
      <c r="G6" s="37" t="n">
        <v>152836</v>
      </c>
      <c r="H6" s="37" t="n">
        <v>170782</v>
      </c>
      <c r="I6" s="37" t="n">
        <v>169148</v>
      </c>
      <c r="J6" s="37" t="n">
        <v>180683</v>
      </c>
      <c r="K6" s="37" t="n">
        <v>195201</v>
      </c>
      <c r="L6" s="38" t="inlineStr">
        <is>
          <t>XBRL: derived: Revenue - COGS</t>
        </is>
      </c>
    </row>
    <row r="7">
      <c r="A7" s="7" t="inlineStr">
        <is>
          <t>OperatingIncome</t>
        </is>
      </c>
      <c r="B7" s="37" t="n">
        <v>60024</v>
      </c>
      <c r="C7" s="37" t="n">
        <v>61344</v>
      </c>
      <c r="D7" s="37" t="n">
        <v>70898</v>
      </c>
      <c r="E7" s="37" t="n">
        <v>63930</v>
      </c>
      <c r="F7" s="37" t="n">
        <v>66288</v>
      </c>
      <c r="G7" s="37" t="n">
        <v>108949</v>
      </c>
      <c r="H7" s="37" t="n">
        <v>119437</v>
      </c>
      <c r="I7" s="37" t="n">
        <v>114301</v>
      </c>
      <c r="J7" s="37" t="n">
        <v>123216</v>
      </c>
      <c r="K7" s="37" t="n">
        <v>133050</v>
      </c>
      <c r="L7" s="38" t="inlineStr">
        <is>
          <t>XBRL: OperatingIncomeLoss</t>
        </is>
      </c>
    </row>
    <row r="8">
      <c r="A8" s="7" t="inlineStr">
        <is>
          <t>PretaxIncome</t>
        </is>
      </c>
      <c r="B8" s="37" t="n">
        <v>61372</v>
      </c>
      <c r="C8" s="37" t="n">
        <v>64089</v>
      </c>
      <c r="D8" s="37" t="n">
        <v>72903</v>
      </c>
      <c r="E8" s="37" t="n">
        <v>65737</v>
      </c>
      <c r="F8" s="37" t="n">
        <v>67091</v>
      </c>
      <c r="G8" s="37" t="n">
        <v>109207</v>
      </c>
      <c r="H8" s="37" t="n">
        <v>119103</v>
      </c>
      <c r="I8" s="37" t="n">
        <v>113736</v>
      </c>
      <c r="J8" s="37" t="n">
        <v>123485</v>
      </c>
      <c r="K8" s="37" t="n">
        <v>132729</v>
      </c>
      <c r="L8" s="38" t="inlineStr">
        <is>
          <t>XBRL: IncomeLossFromContinuingOperationsBeforeIncomeTaxesExtraordinaryItemsNoncontrollingInterest + IncomeLossFromContinuingOperationsBeforeIncomeTaxesMinorityInterestAndIncomeLossFromEquityMethodInvestments</t>
        </is>
      </c>
    </row>
    <row r="9">
      <c r="A9" s="7" t="inlineStr">
        <is>
          <t>IncomeTaxExpense</t>
        </is>
      </c>
      <c r="B9" s="37" t="n">
        <v>15685</v>
      </c>
      <c r="C9" s="37" t="n">
        <v>15738</v>
      </c>
      <c r="D9" s="37" t="n">
        <v>13372</v>
      </c>
      <c r="E9" s="37" t="n">
        <v>10481</v>
      </c>
      <c r="F9" s="37" t="n">
        <v>9680</v>
      </c>
      <c r="G9" s="37" t="n">
        <v>14527</v>
      </c>
      <c r="H9" s="37" t="n">
        <v>19300</v>
      </c>
      <c r="I9" s="37" t="n">
        <v>16741</v>
      </c>
      <c r="J9" s="37" t="n">
        <v>29749</v>
      </c>
      <c r="K9" s="37" t="n">
        <v>20719</v>
      </c>
      <c r="L9" s="38" t="inlineStr">
        <is>
          <t>XBRL: IncomeTaxExpenseBenefit</t>
        </is>
      </c>
    </row>
    <row r="10">
      <c r="A10" s="7" t="inlineStr">
        <is>
          <t>NetIncome</t>
        </is>
      </c>
      <c r="B10" s="37" t="n">
        <v>45687</v>
      </c>
      <c r="C10" s="37" t="n">
        <v>48351</v>
      </c>
      <c r="D10" s="37" t="n">
        <v>59531</v>
      </c>
      <c r="E10" s="37" t="n">
        <v>55256</v>
      </c>
      <c r="F10" s="37" t="n">
        <v>57411</v>
      </c>
      <c r="G10" s="37" t="n">
        <v>94680</v>
      </c>
      <c r="H10" s="37" t="n">
        <v>99803</v>
      </c>
      <c r="I10" s="37" t="n">
        <v>96995</v>
      </c>
      <c r="J10" s="37" t="n">
        <v>93736</v>
      </c>
      <c r="K10" s="37" t="n">
        <v>112010</v>
      </c>
      <c r="L10" s="38" t="inlineStr">
        <is>
          <t>XBRL: NetIncomeLoss</t>
        </is>
      </c>
    </row>
    <row r="11">
      <c r="A11" s="7" t="inlineStr">
        <is>
          <t>InterestExpense</t>
        </is>
      </c>
      <c r="B11" s="37" t="n">
        <v>1456</v>
      </c>
      <c r="C11" s="37" t="n">
        <v>2323</v>
      </c>
      <c r="D11" s="37" t="n">
        <v>3240</v>
      </c>
      <c r="E11" s="37" t="n">
        <v>3576</v>
      </c>
      <c r="F11" s="37" t="n">
        <v>2873</v>
      </c>
      <c r="G11" s="37" t="n">
        <v>2645</v>
      </c>
      <c r="H11" s="37" t="n">
        <v>2931</v>
      </c>
      <c r="I11" s="37" t="n">
        <v>3933</v>
      </c>
      <c r="J11" s="9" t="inlineStr">
        <is>
          <t>--</t>
        </is>
      </c>
      <c r="K11" s="9" t="inlineStr">
        <is>
          <t>--</t>
        </is>
      </c>
      <c r="L11" s="38" t="inlineStr">
        <is>
          <t>XBRL: InterestExpense</t>
        </is>
      </c>
    </row>
    <row r="12">
      <c r="A12" s="7" t="inlineStr">
        <is>
          <t>DA</t>
        </is>
      </c>
      <c r="B12" s="37" t="n">
        <v>10505</v>
      </c>
      <c r="C12" s="37" t="n">
        <v>10157</v>
      </c>
      <c r="D12" s="37" t="n">
        <v>10903</v>
      </c>
      <c r="E12" s="37" t="n">
        <v>12547</v>
      </c>
      <c r="F12" s="37" t="n">
        <v>11056</v>
      </c>
      <c r="G12" s="37" t="n">
        <v>11284</v>
      </c>
      <c r="H12" s="37" t="n">
        <v>11104</v>
      </c>
      <c r="I12" s="37" t="n">
        <v>11519</v>
      </c>
      <c r="J12" s="37" t="n">
        <v>11445</v>
      </c>
      <c r="K12" s="37" t="n">
        <v>11698</v>
      </c>
      <c r="L12" s="38" t="inlineStr">
        <is>
          <t>XBRL: DepreciationDepletionAndAmortization + DepreciationAmortizationAndAccretionNet</t>
        </is>
      </c>
    </row>
    <row r="13">
      <c r="A13" s="7" t="inlineStr">
        <is>
          <t>Capex</t>
        </is>
      </c>
      <c r="B13" s="37" t="n">
        <v>12734</v>
      </c>
      <c r="C13" s="37" t="n">
        <v>12451</v>
      </c>
      <c r="D13" s="37" t="n">
        <v>13313</v>
      </c>
      <c r="E13" s="37" t="n">
        <v>10495</v>
      </c>
      <c r="F13" s="37" t="n">
        <v>7309</v>
      </c>
      <c r="G13" s="37" t="n">
        <v>11085</v>
      </c>
      <c r="H13" s="37" t="n">
        <v>10708</v>
      </c>
      <c r="I13" s="37" t="n">
        <v>10959</v>
      </c>
      <c r="J13" s="37" t="n">
        <v>9447</v>
      </c>
      <c r="K13" s="37" t="n">
        <v>12715</v>
      </c>
      <c r="L13" s="38" t="inlineStr">
        <is>
          <t>XBRL: PaymentsToAcquirePropertyPlantAndEquipment + PaymentsToAcquireProductiveAssets</t>
        </is>
      </c>
    </row>
    <row r="14">
      <c r="A14" s="7" t="inlineStr">
        <is>
          <t>CFO</t>
        </is>
      </c>
      <c r="B14" s="37" t="n">
        <v>66231</v>
      </c>
      <c r="C14" s="37" t="n">
        <v>64225</v>
      </c>
      <c r="D14" s="37" t="n">
        <v>77434</v>
      </c>
      <c r="E14" s="37" t="n">
        <v>69391</v>
      </c>
      <c r="F14" s="37" t="n">
        <v>80674</v>
      </c>
      <c r="G14" s="37" t="n">
        <v>104038</v>
      </c>
      <c r="H14" s="37" t="n">
        <v>122151</v>
      </c>
      <c r="I14" s="37" t="n">
        <v>110543</v>
      </c>
      <c r="J14" s="37" t="n">
        <v>118254</v>
      </c>
      <c r="K14" s="37" t="n">
        <v>111482</v>
      </c>
      <c r="L14" s="38" t="inlineStr">
        <is>
          <t>XBRL: NetCashProvidedByUsedInOperatingActivities + NetCashProvidedByUsedInOperatingActivitiesContinuingOperations</t>
        </is>
      </c>
    </row>
    <row r="15">
      <c r="A15" s="7" t="inlineStr">
        <is>
          <t>Cash</t>
        </is>
      </c>
      <c r="B15" s="37" t="n">
        <v>20484</v>
      </c>
      <c r="C15" s="37" t="n">
        <v>20289</v>
      </c>
      <c r="D15" s="37" t="n">
        <v>25913</v>
      </c>
      <c r="E15" s="37" t="n">
        <v>48844</v>
      </c>
      <c r="F15" s="37" t="n">
        <v>38016</v>
      </c>
      <c r="G15" s="37" t="n">
        <v>34940</v>
      </c>
      <c r="H15" s="37" t="n">
        <v>23646</v>
      </c>
      <c r="I15" s="37" t="n">
        <v>29965</v>
      </c>
      <c r="J15" s="37" t="n">
        <v>29943</v>
      </c>
      <c r="K15" s="37" t="n">
        <v>35934</v>
      </c>
      <c r="L15" s="38" t="inlineStr">
        <is>
          <t>XBRL: CashAndCashEquivalentsAtCarryingValue</t>
        </is>
      </c>
    </row>
    <row r="16">
      <c r="A16" s="7" t="inlineStr">
        <is>
          <t>ShortTermInvestments</t>
        </is>
      </c>
      <c r="B16" s="37" t="n">
        <v>46671</v>
      </c>
      <c r="C16" s="37" t="n">
        <v>53892</v>
      </c>
      <c r="D16" s="37" t="n">
        <v>40388</v>
      </c>
      <c r="E16" s="37" t="n">
        <v>51713</v>
      </c>
      <c r="F16" s="37" t="n">
        <v>52927</v>
      </c>
      <c r="G16" s="37" t="n">
        <v>27699</v>
      </c>
      <c r="H16" s="37" t="n">
        <v>24658</v>
      </c>
      <c r="I16" s="37" t="n">
        <v>31590</v>
      </c>
      <c r="J16" s="37" t="n">
        <v>35228</v>
      </c>
      <c r="K16" s="37" t="n">
        <v>18763</v>
      </c>
      <c r="L16" s="38" t="inlineStr">
        <is>
          <t>XBRL: MarketableSecuritiesCurrent + AvailableForSaleSecuritiesCurrent</t>
        </is>
      </c>
    </row>
    <row r="17">
      <c r="A17" s="7" t="inlineStr">
        <is>
          <t>AccountsReceivable</t>
        </is>
      </c>
      <c r="B17" s="37" t="n">
        <v>15754</v>
      </c>
      <c r="C17" s="37" t="n">
        <v>17874</v>
      </c>
      <c r="D17" s="37" t="n">
        <v>23186</v>
      </c>
      <c r="E17" s="37" t="n">
        <v>22926</v>
      </c>
      <c r="F17" s="37" t="n">
        <v>16120</v>
      </c>
      <c r="G17" s="37" t="n">
        <v>26278</v>
      </c>
      <c r="H17" s="37" t="n">
        <v>28184</v>
      </c>
      <c r="I17" s="37" t="n">
        <v>29508</v>
      </c>
      <c r="J17" s="37" t="n">
        <v>33410</v>
      </c>
      <c r="K17" s="37" t="n">
        <v>39777</v>
      </c>
      <c r="L17" s="38" t="inlineStr">
        <is>
          <t>XBRL: AccountsReceivableNetCurrent</t>
        </is>
      </c>
    </row>
    <row r="18">
      <c r="A18" s="7" t="inlineStr">
        <is>
          <t>Inventory</t>
        </is>
      </c>
      <c r="B18" s="37" t="n">
        <v>2132</v>
      </c>
      <c r="C18" s="37" t="n">
        <v>4855</v>
      </c>
      <c r="D18" s="37" t="n">
        <v>3956</v>
      </c>
      <c r="E18" s="37" t="n">
        <v>4106</v>
      </c>
      <c r="F18" s="37" t="n">
        <v>4061</v>
      </c>
      <c r="G18" s="37" t="n">
        <v>6580</v>
      </c>
      <c r="H18" s="37" t="n">
        <v>4946</v>
      </c>
      <c r="I18" s="37" t="n">
        <v>6331</v>
      </c>
      <c r="J18" s="37" t="n">
        <v>7286</v>
      </c>
      <c r="K18" s="37" t="n">
        <v>5718</v>
      </c>
      <c r="L18" s="38" t="inlineStr">
        <is>
          <t>XBRL: InventoryNet</t>
        </is>
      </c>
    </row>
    <row r="19">
      <c r="A19" s="7" t="inlineStr">
        <is>
          <t>AccountsPayable</t>
        </is>
      </c>
      <c r="B19" s="37" t="n">
        <v>37294</v>
      </c>
      <c r="C19" s="37" t="n">
        <v>44242</v>
      </c>
      <c r="D19" s="37" t="n">
        <v>55888</v>
      </c>
      <c r="E19" s="37" t="n">
        <v>46236</v>
      </c>
      <c r="F19" s="37" t="n">
        <v>42296</v>
      </c>
      <c r="G19" s="37" t="n">
        <v>54763</v>
      </c>
      <c r="H19" s="37" t="n">
        <v>64115</v>
      </c>
      <c r="I19" s="37" t="n">
        <v>62611</v>
      </c>
      <c r="J19" s="37" t="n">
        <v>68960</v>
      </c>
      <c r="K19" s="37" t="n">
        <v>69860</v>
      </c>
      <c r="L19" s="38" t="inlineStr">
        <is>
          <t>XBRL: AccountsPayableCurrent</t>
        </is>
      </c>
    </row>
    <row r="20">
      <c r="A20" s="7" t="inlineStr">
        <is>
          <t>TotalDebt</t>
        </is>
      </c>
      <c r="B20" s="37" t="n">
        <v>87032</v>
      </c>
      <c r="C20" s="37" t="n">
        <v>115680</v>
      </c>
      <c r="D20" s="37" t="n">
        <v>114483</v>
      </c>
      <c r="E20" s="37" t="n">
        <v>108047</v>
      </c>
      <c r="F20" s="37" t="n">
        <v>112436</v>
      </c>
      <c r="G20" s="37" t="n">
        <v>124719</v>
      </c>
      <c r="H20" s="37" t="n">
        <v>120069</v>
      </c>
      <c r="I20" s="37" t="n">
        <v>111088</v>
      </c>
      <c r="J20" s="37" t="n">
        <v>106629</v>
      </c>
      <c r="K20" s="37" t="n">
        <v>98657</v>
      </c>
      <c r="L20" s="38" t="inlineStr">
        <is>
          <t>XBRL: derived: LongTermDebt(noncurrent+current)+short-term</t>
        </is>
      </c>
    </row>
    <row r="21">
      <c r="A21" s="7" t="inlineStr">
        <is>
          <t>NetDebt</t>
        </is>
      </c>
      <c r="B21" s="37" t="n">
        <v>19877</v>
      </c>
      <c r="C21" s="37" t="n">
        <v>41499</v>
      </c>
      <c r="D21" s="37" t="n">
        <v>48182</v>
      </c>
      <c r="E21" s="37" t="n">
        <v>7490</v>
      </c>
      <c r="F21" s="37" t="n">
        <v>21493</v>
      </c>
      <c r="G21" s="37" t="n">
        <v>62080</v>
      </c>
      <c r="H21" s="37" t="n">
        <v>71765</v>
      </c>
      <c r="I21" s="37" t="n">
        <v>49533</v>
      </c>
      <c r="J21" s="37" t="n">
        <v>41458</v>
      </c>
      <c r="K21" s="37" t="n">
        <v>43960</v>
      </c>
      <c r="L21" s="38" t="inlineStr">
        <is>
          <t>XBRL: derived: TotalDebt - Cash - ShortTermInvestments</t>
        </is>
      </c>
    </row>
    <row r="22">
      <c r="A22" s="7" t="inlineStr">
        <is>
          <t>TotalAssets</t>
        </is>
      </c>
      <c r="B22" s="37" t="n">
        <v>321686</v>
      </c>
      <c r="C22" s="37" t="n">
        <v>375319</v>
      </c>
      <c r="D22" s="37" t="n">
        <v>365725</v>
      </c>
      <c r="E22" s="37" t="n">
        <v>338516</v>
      </c>
      <c r="F22" s="37" t="n">
        <v>323888</v>
      </c>
      <c r="G22" s="37" t="n">
        <v>351002</v>
      </c>
      <c r="H22" s="37" t="n">
        <v>352755</v>
      </c>
      <c r="I22" s="37" t="n">
        <v>352583</v>
      </c>
      <c r="J22" s="37" t="n">
        <v>364980</v>
      </c>
      <c r="K22" s="37" t="n">
        <v>359241</v>
      </c>
      <c r="L22" s="38" t="inlineStr">
        <is>
          <t>XBRL: Assets</t>
        </is>
      </c>
    </row>
    <row r="23">
      <c r="A23" s="7" t="inlineStr">
        <is>
          <t>TotalEquity</t>
        </is>
      </c>
      <c r="B23" s="37" t="n">
        <v>128249</v>
      </c>
      <c r="C23" s="37" t="n">
        <v>134047</v>
      </c>
      <c r="D23" s="37" t="n">
        <v>107147</v>
      </c>
      <c r="E23" s="37" t="n">
        <v>90488</v>
      </c>
      <c r="F23" s="37" t="n">
        <v>65339</v>
      </c>
      <c r="G23" s="37" t="n">
        <v>63090</v>
      </c>
      <c r="H23" s="37" t="n">
        <v>50672</v>
      </c>
      <c r="I23" s="37" t="n">
        <v>62146</v>
      </c>
      <c r="J23" s="37" t="n">
        <v>56950</v>
      </c>
      <c r="K23" s="37" t="n">
        <v>73733</v>
      </c>
      <c r="L23" s="38" t="inlineStr">
        <is>
          <t>XBRL: StockholdersEquity</t>
        </is>
      </c>
    </row>
  </sheetData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2026-08-07T15:57:47Z</dcterms:created>
  <dcterms:modified xsi:type="dcterms:W3CDTF">2026-08-07T15:57:47Z</dcterms:modified>
</cp:coreProperties>
</file>